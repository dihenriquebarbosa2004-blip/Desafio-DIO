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hen\Downloads\"/>
    </mc:Choice>
  </mc:AlternateContent>
  <xr:revisionPtr revIDLastSave="0" documentId="13_ncr:1_{1679EFD0-8783-46E4-94CE-B4D5FD250E43}" xr6:coauthVersionLast="47" xr6:coauthVersionMax="47" xr10:uidLastSave="{00000000-0000-0000-0000-000000000000}"/>
  <bookViews>
    <workbookView xWindow="-108" yWindow="-108" windowWidth="23256" windowHeight="12456" tabRatio="0" xr2:uid="{BF9BCE69-DC4F-4725-9F26-68A16E67A6BB}"/>
  </bookViews>
  <sheets>
    <sheet name="Planilha1" sheetId="1" r:id="rId1"/>
    <sheet name="Planilha2" sheetId="2" r:id="rId2"/>
  </sheets>
  <definedNames>
    <definedName name="aporte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D37" i="1" s="1"/>
  <c r="C38" i="1"/>
  <c r="C39" i="1"/>
  <c r="C40" i="1"/>
  <c r="C41" i="1"/>
  <c r="C36" i="1"/>
  <c r="H4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3" i="2"/>
  <c r="C33" i="1"/>
  <c r="D14" i="1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36" i="1" l="1"/>
  <c r="D41" i="1"/>
  <c r="D40" i="1"/>
  <c r="D39" i="1"/>
  <c r="D38" i="1"/>
</calcChain>
</file>

<file path=xl/sharedStrings.xml><?xml version="1.0" encoding="utf-8"?>
<sst xmlns="http://schemas.openxmlformats.org/spreadsheetml/2006/main" count="71" uniqueCount="35">
  <si>
    <t>Quanto investir por mês?</t>
  </si>
  <si>
    <t>Taxa de Rendimento mensal</t>
  </si>
  <si>
    <t>Por Quantos Anos?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</si>
  <si>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</si>
  <si>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</si>
  <si>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</si>
  <si>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</si>
  <si>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</si>
  <si>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</si>
  <si>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</si>
  <si>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</si>
  <si>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</si>
  <si>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</si>
  <si>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</si>
  <si>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</si>
  <si>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</si>
  <si>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Perfil</t>
  </si>
  <si>
    <t>Moderado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</si>
  <si>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</si>
  <si>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</si>
  <si>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</si>
  <si>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</si>
  <si>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</si>
  <si>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</si>
  <si>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</si>
  <si>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</si>
  <si>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</si>
  <si>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</si>
  <si>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</si>
  <si>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</si>
  <si>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Conservador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</si>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</sst>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0" tint="-0.14996795556505021"/>
      </right>
      <top/>
      <bottom style="medium">
        <color indexed="64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7" borderId="0" applyNumberFormat="0" applyBorder="0" applyAlignment="0" applyProtection="0"/>
  </cellStyleXfs>
  <cellXfs count="51">
    <xf numFmtId="0" fontId="0" fillId="0" borderId="0" xfId="0"/>
    <xf numFmtId="0" fontId="2" fillId="0" borderId="4" xfId="0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8" fontId="2" fillId="4" borderId="4" xfId="0" applyNumberFormat="1" applyFont="1" applyFill="1" applyBorder="1" applyAlignment="1">
      <alignment horizontal="center" vertical="center"/>
    </xf>
    <xf numFmtId="8" fontId="2" fillId="4" borderId="5" xfId="0" applyNumberFormat="1" applyFont="1" applyFill="1" applyBorder="1" applyAlignment="1">
      <alignment horizontal="center" vertical="center"/>
    </xf>
    <xf numFmtId="0" fontId="3" fillId="5" borderId="0" xfId="0" applyFont="1" applyFill="1"/>
    <xf numFmtId="0" fontId="5" fillId="2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4" fontId="0" fillId="0" borderId="7" xfId="1" applyNumberFormat="1" applyFont="1" applyBorder="1" applyAlignment="1">
      <alignment horizontal="left"/>
    </xf>
    <xf numFmtId="10" fontId="0" fillId="0" borderId="8" xfId="0" applyNumberFormat="1" applyBorder="1" applyAlignment="1">
      <alignment horizontal="left"/>
    </xf>
    <xf numFmtId="164" fontId="0" fillId="0" borderId="9" xfId="0" applyNumberFormat="1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8" fontId="0" fillId="3" borderId="17" xfId="0" applyNumberFormat="1" applyFill="1" applyBorder="1"/>
    <xf numFmtId="8" fontId="0" fillId="3" borderId="18" xfId="0" applyNumberFormat="1" applyFill="1" applyBorder="1"/>
    <xf numFmtId="8" fontId="0" fillId="3" borderId="20" xfId="0" applyNumberFormat="1" applyFill="1" applyBorder="1"/>
    <xf numFmtId="8" fontId="0" fillId="3" borderId="21" xfId="0" applyNumberFormat="1" applyFill="1" applyBorder="1"/>
    <xf numFmtId="8" fontId="0" fillId="3" borderId="23" xfId="0" applyNumberFormat="1" applyFill="1" applyBorder="1"/>
    <xf numFmtId="8" fontId="0" fillId="3" borderId="24" xfId="0" applyNumberFormat="1" applyFill="1" applyBorder="1"/>
    <xf numFmtId="0" fontId="0" fillId="0" borderId="0" xfId="0" applyAlignment="1">
      <alignment horizontal="left"/>
    </xf>
    <xf numFmtId="0" fontId="8" fillId="4" borderId="10" xfId="0" applyFont="1" applyFill="1" applyBorder="1" applyAlignment="1">
      <alignment horizontal="left" indent="3"/>
    </xf>
    <xf numFmtId="0" fontId="8" fillId="4" borderId="12" xfId="0" applyFont="1" applyFill="1" applyBorder="1" applyAlignment="1">
      <alignment horizontal="left" indent="3"/>
    </xf>
    <xf numFmtId="0" fontId="8" fillId="0" borderId="10" xfId="0" applyFont="1" applyBorder="1" applyAlignment="1">
      <alignment horizontal="left" indent="3"/>
    </xf>
    <xf numFmtId="0" fontId="8" fillId="0" borderId="11" xfId="0" applyFont="1" applyBorder="1" applyAlignment="1">
      <alignment horizontal="left" indent="3"/>
    </xf>
    <xf numFmtId="0" fontId="9" fillId="4" borderId="10" xfId="0" applyFont="1" applyFill="1" applyBorder="1" applyAlignment="1">
      <alignment horizontal="left" indent="3"/>
    </xf>
    <xf numFmtId="0" fontId="9" fillId="4" borderId="11" xfId="0" applyFont="1" applyFill="1" applyBorder="1" applyAlignment="1">
      <alignment horizontal="left" indent="3"/>
    </xf>
    <xf numFmtId="0" fontId="9" fillId="4" borderId="13" xfId="0" applyFont="1" applyFill="1" applyBorder="1" applyAlignment="1">
      <alignment horizontal="left" indent="3"/>
    </xf>
    <xf numFmtId="0" fontId="9" fillId="4" borderId="15" xfId="0" applyFont="1" applyFill="1" applyBorder="1" applyAlignment="1">
      <alignment horizontal="left" indent="3"/>
    </xf>
    <xf numFmtId="0" fontId="8" fillId="3" borderId="16" xfId="0" applyFont="1" applyFill="1" applyBorder="1" applyAlignment="1">
      <alignment horizontal="left" indent="3"/>
    </xf>
    <xf numFmtId="0" fontId="8" fillId="3" borderId="19" xfId="0" applyFont="1" applyFill="1" applyBorder="1" applyAlignment="1">
      <alignment horizontal="left" indent="3"/>
    </xf>
    <xf numFmtId="0" fontId="8" fillId="3" borderId="22" xfId="0" applyFont="1" applyFill="1" applyBorder="1" applyAlignment="1">
      <alignment horizontal="left" indent="3"/>
    </xf>
    <xf numFmtId="0" fontId="8" fillId="4" borderId="13" xfId="1" applyNumberFormat="1" applyFont="1" applyFill="1" applyBorder="1" applyAlignment="1">
      <alignment horizontal="left" indent="3"/>
    </xf>
    <xf numFmtId="0" fontId="8" fillId="4" borderId="14" xfId="1" applyNumberFormat="1" applyFont="1" applyFill="1" applyBorder="1" applyAlignment="1">
      <alignment horizontal="left" indent="3"/>
    </xf>
    <xf numFmtId="0" fontId="7" fillId="7" borderId="0" xfId="3"/>
    <xf numFmtId="0" fontId="0" fillId="4" borderId="0" xfId="0" applyFill="1"/>
    <xf numFmtId="164" fontId="0" fillId="4" borderId="0" xfId="0" applyNumberFormat="1" applyFill="1"/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25" xfId="0" applyNumberFormat="1" applyBorder="1" applyAlignment="1">
      <alignment horizontal="center"/>
    </xf>
    <xf numFmtId="9" fontId="7" fillId="7" borderId="0" xfId="3" applyNumberFormat="1"/>
    <xf numFmtId="9" fontId="0" fillId="0" borderId="0" xfId="2" applyNumberFormat="1" applyFont="1" applyAlignment="1">
      <alignment horizontal="center"/>
    </xf>
    <xf numFmtId="164" fontId="2" fillId="4" borderId="0" xfId="0" applyNumberFormat="1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0-4962-BFC8-A1A947FA8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121920</xdr:rowOff>
    </xdr:from>
    <xdr:to>
      <xdr:col>3</xdr:col>
      <xdr:colOff>68580</xdr:colOff>
      <xdr:row>8</xdr:row>
      <xdr:rowOff>122047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E89FEF4-40CD-76B1-D0FD-9AC17595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1920"/>
          <a:ext cx="5760720" cy="1463167"/>
        </a:xfrm>
        <a:prstGeom prst="rect">
          <a:avLst/>
        </a:prstGeom>
      </xdr:spPr>
    </xdr:pic>
    <xdr:clientData/>
  </xdr:twoCellAnchor>
  <xdr:twoCellAnchor>
    <xdr:from>
      <xdr:col>1</xdr:col>
      <xdr:colOff>205740</xdr:colOff>
      <xdr:row>43</xdr:row>
      <xdr:rowOff>53340</xdr:rowOff>
    </xdr:from>
    <xdr:to>
      <xdr:col>3</xdr:col>
      <xdr:colOff>762000</xdr:colOff>
      <xdr:row>60</xdr:row>
      <xdr:rowOff>64770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218AF7-C7A1-7E21-FBE9-90992E33C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1099-0507-4407-8BA7-E1BC99B91D25}">
  <dimension ref="A10:H42"/>
  <sheetViews>
    <sheetView showGridLines="0" tabSelected="1" topLeftCell="A35" zoomScaleNormal="100" workbookViewId="0">
      <selection activeCell="C32" sqref="C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" width="7" customWidth="1"/>
    <col min="2" max="2" width="50" customWidth="1"/>
    <col min="3" max="3" width="28.77734375" bestFit="1" customWidth="1"/>
    <col min="4" max="4" width="12.5546875" bestFit="1" customWidth="1"/>
    <col min="5" max="5" width="3.44140625" customWidth="1"/>
    <col min="6" max="6" width="4.109375" customWidth="1"/>
    <col min="7" max="7" width="3.6640625" customWidth="1"/>
    <col min="8" max="8" width="5.109375" customWidth="1"/>
    <col min="9" max="11" width="8.88671875" hidden="1" customWidth="1"/>
    <col min="12" max="16384" width="8.88671875" hidden="1"/>
  </cols>
  <sheetData>
    <row r="10" spans="2:7" ht="16.2" thickBot="1" x14ac:dyDescent="0.35">
      <c r="G10" s="13"/>
    </row>
    <row r="11" spans="2:7" ht="23.4" x14ac:dyDescent="0.3">
      <c r="B11" s="8" t="s">
        <v>13</v>
      </c>
      <c r="C11" s="16"/>
      <c r="D11" s="9"/>
    </row>
    <row r="12" spans="2:7" ht="15.6" x14ac:dyDescent="0.3">
      <c r="B12" s="26" t="s">
        <v>15</v>
      </c>
      <c r="C12" s="27"/>
      <c r="D12" s="10">
        <v>2000</v>
      </c>
    </row>
    <row r="13" spans="2:7" ht="15.6" x14ac:dyDescent="0.3">
      <c r="B13" s="26" t="s">
        <v>14</v>
      </c>
      <c r="C13" s="27"/>
      <c r="D13" s="11">
        <v>6.0000000000000001E-3</v>
      </c>
    </row>
    <row r="14" spans="2:7" ht="16.2" thickBot="1" x14ac:dyDescent="0.35">
      <c r="B14" s="37" t="s">
        <v>34</v>
      </c>
      <c r="C14" s="38"/>
      <c r="D14" s="12">
        <f>D12*30%</f>
        <v>600</v>
      </c>
    </row>
    <row r="15" spans="2:7" ht="15" thickBot="1" x14ac:dyDescent="0.35"/>
    <row r="16" spans="2:7" ht="36" customHeight="1" x14ac:dyDescent="0.3">
      <c r="B16" s="15" t="s">
        <v>5</v>
      </c>
      <c r="C16" s="17"/>
      <c r="D16" s="18"/>
    </row>
    <row r="17" spans="1:7" ht="15.6" x14ac:dyDescent="0.3">
      <c r="B17" s="28" t="s">
        <v>0</v>
      </c>
      <c r="C17" s="29"/>
      <c r="D17" s="3">
        <v>200</v>
      </c>
    </row>
    <row r="18" spans="1:7" ht="15.6" x14ac:dyDescent="0.3">
      <c r="B18" s="28" t="s">
        <v>2</v>
      </c>
      <c r="C18" s="29"/>
      <c r="D18" s="1">
        <v>5</v>
      </c>
    </row>
    <row r="19" spans="1:7" ht="15.6" x14ac:dyDescent="0.3">
      <c r="B19" s="28" t="s">
        <v>1</v>
      </c>
      <c r="C19" s="29"/>
      <c r="D19" s="2">
        <v>1.0789999999999999E-2</v>
      </c>
    </row>
    <row r="20" spans="1:7" ht="15.6" x14ac:dyDescent="0.3">
      <c r="B20" s="30" t="s">
        <v>3</v>
      </c>
      <c r="C20" s="31"/>
      <c r="D20" s="4">
        <f>FV(D19,D18*12,D17*-1)</f>
        <v>16755.382799697527</v>
      </c>
      <c r="G20" s="25"/>
    </row>
    <row r="21" spans="1:7" ht="16.2" thickBot="1" x14ac:dyDescent="0.35">
      <c r="B21" s="32" t="s">
        <v>4</v>
      </c>
      <c r="C21" s="33"/>
      <c r="D21" s="5">
        <f>D20*$D$13</f>
        <v>100.53229679818516</v>
      </c>
    </row>
    <row r="22" spans="1:7" ht="15" thickBot="1" x14ac:dyDescent="0.35"/>
    <row r="23" spans="1:7" ht="25.8" x14ac:dyDescent="0.3">
      <c r="B23" s="15" t="s">
        <v>11</v>
      </c>
      <c r="C23" s="17"/>
      <c r="D23" s="7" t="s">
        <v>12</v>
      </c>
    </row>
    <row r="24" spans="1:7" ht="16.2" thickBot="1" x14ac:dyDescent="0.35">
      <c r="A24" s="6">
        <v>2</v>
      </c>
      <c r="B24" s="34" t="s">
        <v>6</v>
      </c>
      <c r="C24" s="19">
        <f>FV($D$19,$A24*12,$D$17*-1)</f>
        <v>5445.5254595290435</v>
      </c>
      <c r="D24" s="20">
        <f>C24*$D$13</f>
        <v>32.673152757174265</v>
      </c>
    </row>
    <row r="25" spans="1:7" ht="16.2" thickBot="1" x14ac:dyDescent="0.35">
      <c r="A25" s="6">
        <v>5</v>
      </c>
      <c r="B25" s="35" t="s">
        <v>7</v>
      </c>
      <c r="C25" s="21">
        <f>FV($D$19,$A25*12,$D$17*-1)</f>
        <v>16755.382799697527</v>
      </c>
      <c r="D25" s="22">
        <f>C25*$D$13</f>
        <v>100.53229679818516</v>
      </c>
    </row>
    <row r="26" spans="1:7" ht="16.2" thickBot="1" x14ac:dyDescent="0.35">
      <c r="A26" s="6">
        <v>10</v>
      </c>
      <c r="B26" s="35" t="s">
        <v>8</v>
      </c>
      <c r="C26" s="21">
        <f>FV($D$19,$A26*12,$D$17*-1)</f>
        <v>48656.842506034438</v>
      </c>
      <c r="D26" s="22">
        <f>C26*$D$13</f>
        <v>291.94105503620665</v>
      </c>
    </row>
    <row r="27" spans="1:7" ht="16.2" thickBot="1" x14ac:dyDescent="0.35">
      <c r="A27" s="6">
        <v>20</v>
      </c>
      <c r="B27" s="35" t="s">
        <v>9</v>
      </c>
      <c r="C27" s="21">
        <f>FV($D$19,$A27*12,$D$17*-1)</f>
        <v>225039.68001941612</v>
      </c>
      <c r="D27" s="22">
        <f>C27*$D$13</f>
        <v>1350.2380801164968</v>
      </c>
    </row>
    <row r="28" spans="1:7" ht="16.2" thickBot="1" x14ac:dyDescent="0.35">
      <c r="A28" s="6">
        <v>30</v>
      </c>
      <c r="B28" s="36" t="s">
        <v>10</v>
      </c>
      <c r="C28" s="23">
        <f>FV($D$19,$A28*12,$D$17*-1)</f>
        <v>864433.93100094295</v>
      </c>
      <c r="D28" s="24">
        <f>C28*$D$13</f>
        <v>5186.6035860056581</v>
      </c>
    </row>
    <row r="32" spans="1:7" x14ac:dyDescent="0.3">
      <c r="B32" s="39" t="s">
        <v>16</v>
      </c>
      <c r="C32" s="39" t="s">
        <v>18</v>
      </c>
      <c r="D32" s="39"/>
    </row>
    <row r="33" spans="2:4" x14ac:dyDescent="0.3">
      <c r="B33" s="40" t="s">
        <v>19</v>
      </c>
      <c r="C33" s="50">
        <f>D17</f>
        <v>200</v>
      </c>
      <c r="D33" s="40"/>
    </row>
    <row r="35" spans="2:4" x14ac:dyDescent="0.3">
      <c r="B35" s="42" t="s">
        <v>20</v>
      </c>
      <c r="C35" s="42" t="s">
        <v>21</v>
      </c>
      <c r="D35" s="42" t="s">
        <v>22</v>
      </c>
    </row>
    <row r="36" spans="2:4" x14ac:dyDescent="0.3">
      <c r="B36" s="14" t="s">
        <v>23</v>
      </c>
      <c r="C36" s="46">
        <f>VLOOKUP($C$32&amp;"-"&amp;B36,Planilha2!$A:$D,4,FALSE)</f>
        <v>0.5</v>
      </c>
      <c r="D36" s="41">
        <f>C36*$C$33</f>
        <v>100</v>
      </c>
    </row>
    <row r="37" spans="2:4" x14ac:dyDescent="0.3">
      <c r="B37" s="14" t="s">
        <v>24</v>
      </c>
      <c r="C37" s="46">
        <f>VLOOKUP($C$32&amp;"-"&amp;B37,Planilha2!$A:$D,4,FALSE)</f>
        <v>0.1</v>
      </c>
      <c r="D37" s="41">
        <f t="shared" ref="D37:D41" si="0">C37*$C$33</f>
        <v>20</v>
      </c>
    </row>
    <row r="38" spans="2:4" x14ac:dyDescent="0.3">
      <c r="B38" s="14" t="s">
        <v>25</v>
      </c>
      <c r="C38" s="46">
        <f>VLOOKUP($C$32&amp;"-"&amp;B38,Planilha2!$A:$D,4,FALSE)</f>
        <v>0.05</v>
      </c>
      <c r="D38" s="41">
        <f t="shared" si="0"/>
        <v>10</v>
      </c>
    </row>
    <row r="39" spans="2:4" x14ac:dyDescent="0.3">
      <c r="B39" s="14" t="s">
        <v>26</v>
      </c>
      <c r="C39" s="46">
        <f>VLOOKUP($C$32&amp;"-"&amp;B39,Planilha2!$A:$D,4,FALSE)</f>
        <v>0.05</v>
      </c>
      <c r="D39" s="41">
        <f t="shared" si="0"/>
        <v>10</v>
      </c>
    </row>
    <row r="40" spans="2:4" x14ac:dyDescent="0.3">
      <c r="B40" s="14" t="s">
        <v>27</v>
      </c>
      <c r="C40" s="46">
        <f>VLOOKUP($C$32&amp;"-"&amp;B40,Planilha2!$A:$D,4,FALSE)</f>
        <v>0.2</v>
      </c>
      <c r="D40" s="41">
        <f t="shared" si="0"/>
        <v>40</v>
      </c>
    </row>
    <row r="41" spans="2:4" x14ac:dyDescent="0.3">
      <c r="B41" s="14" t="s">
        <v>28</v>
      </c>
      <c r="C41" s="46">
        <f>VLOOKUP($C$32&amp;"-"&amp;B41,Planilha2!$A:$D,4,FALSE)</f>
        <v>0.1</v>
      </c>
      <c r="D41" s="41">
        <f t="shared" si="0"/>
        <v>20</v>
      </c>
    </row>
    <row r="42" spans="2:4" x14ac:dyDescent="0.3">
      <c r="B42" s="42"/>
      <c r="C42" s="42"/>
      <c r="D42" s="43">
        <v>500</v>
      </c>
    </row>
  </sheetData>
  <mergeCells count="11">
    <mergeCell ref="B11:D11"/>
    <mergeCell ref="B12:C12"/>
    <mergeCell ref="B13:C13"/>
    <mergeCell ref="B14:C14"/>
    <mergeCell ref="B23:C23"/>
    <mergeCell ref="B17:C17"/>
    <mergeCell ref="B18:C18"/>
    <mergeCell ref="B19:C19"/>
    <mergeCell ref="B20:C20"/>
    <mergeCell ref="B21:C21"/>
    <mergeCell ref="B16:D16"/>
  </mergeCells>
  <dataValidations count="1">
    <dataValidation type="list" allowBlank="1" showInputMessage="1" showErrorMessage="1" sqref="C32" xr:uid="{561B2AD4-8020-4629-839C-52D30D78BC5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4AAE-BBB0-4937-B4E1-11086882FFDC}">
  <dimension ref="A2:H20"/>
  <sheetViews>
    <sheetView workbookViewId="0">
      <selection activeCell="I20" sqref="I20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7" max="7" width="15.44140625" bestFit="1" customWidth="1"/>
  </cols>
  <sheetData>
    <row r="2" spans="1:8" x14ac:dyDescent="0.3">
      <c r="A2" t="s">
        <v>32</v>
      </c>
      <c r="B2" s="14" t="s">
        <v>29</v>
      </c>
      <c r="C2" s="14" t="s">
        <v>20</v>
      </c>
      <c r="D2" t="s">
        <v>31</v>
      </c>
    </row>
    <row r="3" spans="1:8" x14ac:dyDescent="0.3">
      <c r="A3" t="str">
        <f>B3&amp;"-"&amp;C3</f>
        <v>Conservador-PAPEL</v>
      </c>
      <c r="B3" t="s">
        <v>30</v>
      </c>
      <c r="C3" s="14" t="s">
        <v>23</v>
      </c>
      <c r="D3" s="46">
        <v>0.3</v>
      </c>
      <c r="H3" t="s">
        <v>31</v>
      </c>
    </row>
    <row r="4" spans="1:8" x14ac:dyDescent="0.3">
      <c r="A4" t="str">
        <f t="shared" ref="A4:A20" si="0">B4&amp;"-"&amp;C4</f>
        <v>Conservador-TIJOLO</v>
      </c>
      <c r="B4" t="s">
        <v>30</v>
      </c>
      <c r="C4" s="14" t="s">
        <v>24</v>
      </c>
      <c r="D4" s="46">
        <v>0.5</v>
      </c>
      <c r="G4" s="39" t="s">
        <v>33</v>
      </c>
      <c r="H4" s="48">
        <f>VLOOKUP(G4,$A:$D,4,FALSE)</f>
        <v>0.35</v>
      </c>
    </row>
    <row r="5" spans="1:8" x14ac:dyDescent="0.3">
      <c r="A5" t="str">
        <f t="shared" si="0"/>
        <v>Conservador-HÍBRIDOS</v>
      </c>
      <c r="B5" t="s">
        <v>30</v>
      </c>
      <c r="C5" s="14" t="s">
        <v>25</v>
      </c>
      <c r="D5" s="46">
        <v>0.1</v>
      </c>
    </row>
    <row r="6" spans="1:8" x14ac:dyDescent="0.3">
      <c r="A6" t="str">
        <f t="shared" si="0"/>
        <v>Conservador-FOFS</v>
      </c>
      <c r="B6" t="s">
        <v>30</v>
      </c>
      <c r="C6" s="14" t="s">
        <v>26</v>
      </c>
      <c r="D6" s="46">
        <v>0.1</v>
      </c>
    </row>
    <row r="7" spans="1:8" x14ac:dyDescent="0.3">
      <c r="A7" t="str">
        <f t="shared" si="0"/>
        <v>Conservador-DESENVOLVIMENTO</v>
      </c>
      <c r="B7" t="s">
        <v>30</v>
      </c>
      <c r="C7" s="14" t="s">
        <v>27</v>
      </c>
      <c r="D7" s="46">
        <v>0</v>
      </c>
    </row>
    <row r="8" spans="1:8" ht="15" thickBot="1" x14ac:dyDescent="0.35">
      <c r="A8" s="44" t="str">
        <f t="shared" si="0"/>
        <v>Conservador-HOTELARIAS</v>
      </c>
      <c r="B8" s="44" t="s">
        <v>30</v>
      </c>
      <c r="C8" s="45" t="s">
        <v>28</v>
      </c>
      <c r="D8" s="47">
        <v>0</v>
      </c>
    </row>
    <row r="9" spans="1:8" x14ac:dyDescent="0.3">
      <c r="A9" t="str">
        <f t="shared" si="0"/>
        <v>Moderado-PAPEL</v>
      </c>
      <c r="B9" t="s">
        <v>17</v>
      </c>
      <c r="C9" s="14" t="s">
        <v>23</v>
      </c>
      <c r="D9" s="46">
        <v>0.32</v>
      </c>
    </row>
    <row r="10" spans="1:8" x14ac:dyDescent="0.3">
      <c r="A10" t="str">
        <f t="shared" si="0"/>
        <v>Moderado-TIJOLO</v>
      </c>
      <c r="B10" t="s">
        <v>17</v>
      </c>
      <c r="C10" s="14" t="s">
        <v>24</v>
      </c>
      <c r="D10" s="46">
        <v>0.35</v>
      </c>
    </row>
    <row r="11" spans="1:8" x14ac:dyDescent="0.3">
      <c r="A11" t="str">
        <f t="shared" si="0"/>
        <v>Moderado-HÍBRIDOS</v>
      </c>
      <c r="B11" t="s">
        <v>17</v>
      </c>
      <c r="C11" s="14" t="s">
        <v>25</v>
      </c>
      <c r="D11" s="46">
        <v>0.08</v>
      </c>
    </row>
    <row r="12" spans="1:8" x14ac:dyDescent="0.3">
      <c r="A12" t="str">
        <f t="shared" si="0"/>
        <v>Moderado-FOFS</v>
      </c>
      <c r="B12" t="s">
        <v>17</v>
      </c>
      <c r="C12" s="14" t="s">
        <v>26</v>
      </c>
      <c r="D12" s="46">
        <v>0.05</v>
      </c>
    </row>
    <row r="13" spans="1:8" x14ac:dyDescent="0.3">
      <c r="A13" t="str">
        <f t="shared" si="0"/>
        <v>Moderado-DESENVOLVIMENTO</v>
      </c>
      <c r="B13" t="s">
        <v>17</v>
      </c>
      <c r="C13" s="14" t="s">
        <v>27</v>
      </c>
      <c r="D13" s="46">
        <v>0.1</v>
      </c>
    </row>
    <row r="14" spans="1:8" ht="15" thickBot="1" x14ac:dyDescent="0.35">
      <c r="A14" s="44" t="str">
        <f t="shared" si="0"/>
        <v>Moderado-HOTELARIAS</v>
      </c>
      <c r="B14" s="44" t="s">
        <v>17</v>
      </c>
      <c r="C14" s="45" t="s">
        <v>28</v>
      </c>
      <c r="D14" s="47">
        <v>0.1</v>
      </c>
    </row>
    <row r="15" spans="1:8" x14ac:dyDescent="0.3">
      <c r="A15" t="str">
        <f t="shared" si="0"/>
        <v>Agressivo-PAPEL</v>
      </c>
      <c r="B15" t="s">
        <v>18</v>
      </c>
      <c r="C15" s="14" t="s">
        <v>23</v>
      </c>
      <c r="D15" s="46">
        <v>0.5</v>
      </c>
    </row>
    <row r="16" spans="1:8" x14ac:dyDescent="0.3">
      <c r="A16" t="str">
        <f t="shared" si="0"/>
        <v>Agressivo-TIJOLO</v>
      </c>
      <c r="B16" t="s">
        <v>18</v>
      </c>
      <c r="C16" s="14" t="s">
        <v>24</v>
      </c>
      <c r="D16" s="46">
        <v>0.1</v>
      </c>
    </row>
    <row r="17" spans="1:4" x14ac:dyDescent="0.3">
      <c r="A17" t="str">
        <f t="shared" si="0"/>
        <v>Agressivo-HÍBRIDOS</v>
      </c>
      <c r="B17" t="s">
        <v>18</v>
      </c>
      <c r="C17" s="14" t="s">
        <v>25</v>
      </c>
      <c r="D17" s="46">
        <v>0.05</v>
      </c>
    </row>
    <row r="18" spans="1:4" x14ac:dyDescent="0.3">
      <c r="A18" t="str">
        <f t="shared" si="0"/>
        <v>Agressivo-FOFS</v>
      </c>
      <c r="B18" t="s">
        <v>18</v>
      </c>
      <c r="C18" s="14" t="s">
        <v>26</v>
      </c>
      <c r="D18" s="46">
        <v>0.05</v>
      </c>
    </row>
    <row r="19" spans="1:4" x14ac:dyDescent="0.3">
      <c r="A19" t="str">
        <f t="shared" si="0"/>
        <v>Agressivo-DESENVOLVIMENTO</v>
      </c>
      <c r="B19" t="s">
        <v>18</v>
      </c>
      <c r="C19" s="14" t="s">
        <v>27</v>
      </c>
      <c r="D19" s="49">
        <v>0.2</v>
      </c>
    </row>
    <row r="20" spans="1:4" x14ac:dyDescent="0.3">
      <c r="A20" t="str">
        <f t="shared" si="0"/>
        <v>Agressivo-HOTELARIAS</v>
      </c>
      <c r="B20" t="s">
        <v>18</v>
      </c>
      <c r="C20" s="14" t="s">
        <v>28</v>
      </c>
      <c r="D20" s="4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aporte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Barbosa</dc:creator>
  <cp:lastModifiedBy>Diego Barbosa</cp:lastModifiedBy>
  <dcterms:created xsi:type="dcterms:W3CDTF">2026-09-15T12:38:09Z</dcterms:created>
  <dcterms:modified xsi:type="dcterms:W3CDTF">2026-09-17T14:36:05Z</dcterms:modified>
</cp:coreProperties>
</file>